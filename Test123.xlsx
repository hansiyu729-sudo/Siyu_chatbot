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3" i="1"/>
  <c r="J4"/>
  <c r="J5"/>
  <c r="J6"/>
  <c r="J7"/>
  <c r="J8"/>
  <c r="J9"/>
  <c r="J10"/>
  <c r="J11"/>
  <c r="J12"/>
  <c r="J13"/>
  <c r="J14"/>
  <c r="J15"/>
  <c r="J16"/>
  <c r="J17"/>
  <c r="J18"/>
  <c r="J19"/>
  <c r="J2"/>
  <c r="I3"/>
  <c r="I4"/>
  <c r="I5"/>
  <c r="I6"/>
  <c r="I7"/>
  <c r="I8"/>
  <c r="I9"/>
  <c r="I10"/>
  <c r="I11"/>
  <c r="I12"/>
  <c r="I13"/>
  <c r="I14"/>
  <c r="I15"/>
  <c r="I16"/>
  <c r="I17"/>
  <c r="I18"/>
  <c r="I19"/>
  <c r="I2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</calcChain>
</file>

<file path=xl/sharedStrings.xml><?xml version="1.0" encoding="utf-8"?>
<sst xmlns="http://schemas.openxmlformats.org/spreadsheetml/2006/main" count="47" uniqueCount="22">
  <si>
    <t>Svc (Service)</t>
    <phoneticPr fontId="1" type="noConversion"/>
  </si>
  <si>
    <t>First Bus</t>
    <phoneticPr fontId="1" type="noConversion"/>
  </si>
  <si>
    <t>Last Bus</t>
    <phoneticPr fontId="1" type="noConversion"/>
  </si>
  <si>
    <t>Month</t>
    <phoneticPr fontId="1" type="noConversion"/>
  </si>
  <si>
    <t>Year</t>
    <phoneticPr fontId="1" type="noConversion"/>
  </si>
  <si>
    <t>Average Loading</t>
    <phoneticPr fontId="1" type="noConversion"/>
  </si>
  <si>
    <t>Period</t>
    <phoneticPr fontId="1" type="noConversion"/>
  </si>
  <si>
    <t>AM</t>
    <phoneticPr fontId="1" type="noConversion"/>
  </si>
  <si>
    <t>EA</t>
    <phoneticPr fontId="1" type="noConversion"/>
  </si>
  <si>
    <t>AO</t>
    <phoneticPr fontId="1" type="noConversion"/>
  </si>
  <si>
    <t>Day_Type</t>
    <phoneticPr fontId="1" type="noConversion"/>
  </si>
  <si>
    <t>Weekday</t>
    <phoneticPr fontId="1" type="noConversion"/>
  </si>
  <si>
    <t>PM</t>
    <phoneticPr fontId="1" type="noConversion"/>
  </si>
  <si>
    <t>EP</t>
    <phoneticPr fontId="1" type="noConversion"/>
  </si>
  <si>
    <t>PO</t>
    <phoneticPr fontId="1" type="noConversion"/>
  </si>
  <si>
    <t>Saturday</t>
    <phoneticPr fontId="1" type="noConversion"/>
  </si>
  <si>
    <t>FA</t>
    <phoneticPr fontId="1" type="noConversion"/>
  </si>
  <si>
    <t>FP</t>
    <phoneticPr fontId="1" type="noConversion"/>
  </si>
  <si>
    <t>Sunday/PH</t>
    <phoneticPr fontId="1" type="noConversion"/>
  </si>
  <si>
    <t>Max Loading</t>
    <phoneticPr fontId="1" type="noConversion"/>
  </si>
  <si>
    <t>Min Loading</t>
    <phoneticPr fontId="1" type="noConversion"/>
  </si>
  <si>
    <t>Reliability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</si>
</sst>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selection activeCell="G20" sqref="G20"/>
    </sheetView>
  </sheetViews>
  <sheetFormatPr defaultRowHeight="14.4"/>
  <cols>
    <col min="1" max="1" width="15" bestFit="1" customWidth="1"/>
    <col min="2" max="2" width="10.5546875" bestFit="1" customWidth="1"/>
    <col min="6" max="6" width="13.109375" customWidth="1"/>
    <col min="7" max="7" width="23.77734375" bestFit="1" customWidth="1"/>
    <col min="8" max="8" width="17.21875" bestFit="1" customWidth="1"/>
    <col min="9" max="11" width="12.77734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6</v>
      </c>
      <c r="H1" t="s">
        <v>5</v>
      </c>
      <c r="I1" t="s">
        <v>19</v>
      </c>
      <c r="J1" t="s">
        <v>20</v>
      </c>
      <c r="K1" t="s">
        <v>21</v>
      </c>
    </row>
    <row r="2" spans="1:11">
      <c r="A2">
        <v>123</v>
      </c>
      <c r="B2" t="str">
        <f>TEXT("530","0000")</f>
        <v>0530</v>
      </c>
      <c r="C2" t="str">
        <f>TEXT("2330","0000")</f>
        <v>2330</v>
      </c>
      <c r="D2">
        <v>8</v>
      </c>
      <c r="E2">
        <v>2025</v>
      </c>
      <c r="F2" t="s">
        <v>11</v>
      </c>
      <c r="G2" t="s">
        <v>7</v>
      </c>
      <c r="H2" s="1">
        <v>0.56000000000000005</v>
      </c>
      <c r="I2" s="3">
        <f>H2+0.25</f>
        <v>0.81</v>
      </c>
      <c r="J2" s="3">
        <f>H2-0.3</f>
        <v>0.26000000000000006</v>
      </c>
      <c r="K2" s="1">
        <v>0.91</v>
      </c>
    </row>
    <row r="3" spans="1:11">
      <c r="A3">
        <v>123</v>
      </c>
      <c r="B3" t="str">
        <f>TEXT("530","0000")</f>
        <v>0530</v>
      </c>
      <c r="C3" t="str">
        <f>TEXT("2330","0000")</f>
        <v>2330</v>
      </c>
      <c r="D3">
        <v>8</v>
      </c>
      <c r="E3">
        <v>2025</v>
      </c>
      <c r="F3" t="s">
        <v>11</v>
      </c>
      <c r="G3" t="s">
        <v>8</v>
      </c>
      <c r="H3" s="1">
        <v>0.45</v>
      </c>
      <c r="I3" s="3">
        <f t="shared" ref="I3:I19" si="0">H3+0.25</f>
        <v>0.7</v>
      </c>
      <c r="J3" s="3">
        <f t="shared" ref="J3:J19" si="1">H3-0.3</f>
        <v>0.15000000000000002</v>
      </c>
      <c r="K3" s="1">
        <v>0.92</v>
      </c>
    </row>
    <row r="4" spans="1:11">
      <c r="A4">
        <v>123</v>
      </c>
      <c r="B4" t="str">
        <f t="shared" ref="B4:B11" si="2">TEXT("530","0000")</f>
        <v>0530</v>
      </c>
      <c r="C4" t="str">
        <f t="shared" ref="C4:C11" si="3">TEXT("2330","0000")</f>
        <v>2330</v>
      </c>
      <c r="D4">
        <v>8</v>
      </c>
      <c r="E4">
        <v>2025</v>
      </c>
      <c r="F4" t="s">
        <v>11</v>
      </c>
      <c r="G4" t="s">
        <v>9</v>
      </c>
      <c r="H4" s="1">
        <v>0.46</v>
      </c>
      <c r="I4" s="3">
        <f t="shared" si="0"/>
        <v>0.71</v>
      </c>
      <c r="J4" s="3">
        <f t="shared" si="1"/>
        <v>0.16000000000000003</v>
      </c>
      <c r="K4" s="1">
        <v>0.93</v>
      </c>
    </row>
    <row r="5" spans="1:11">
      <c r="A5">
        <v>123</v>
      </c>
      <c r="B5" t="str">
        <f t="shared" si="2"/>
        <v>0530</v>
      </c>
      <c r="C5" t="str">
        <f t="shared" si="3"/>
        <v>2330</v>
      </c>
      <c r="D5">
        <v>8</v>
      </c>
      <c r="E5">
        <v>2025</v>
      </c>
      <c r="F5" t="s">
        <v>11</v>
      </c>
      <c r="G5" t="s">
        <v>12</v>
      </c>
      <c r="H5" s="1">
        <v>0.47000000000000003</v>
      </c>
      <c r="I5" s="3">
        <f t="shared" si="0"/>
        <v>0.72</v>
      </c>
      <c r="J5" s="3">
        <f t="shared" si="1"/>
        <v>0.17000000000000004</v>
      </c>
      <c r="K5" s="1">
        <v>0.94</v>
      </c>
    </row>
    <row r="6" spans="1:11">
      <c r="A6">
        <v>123</v>
      </c>
      <c r="B6" t="str">
        <f t="shared" si="2"/>
        <v>0530</v>
      </c>
      <c r="C6" t="str">
        <f t="shared" si="3"/>
        <v>2330</v>
      </c>
      <c r="D6">
        <v>8</v>
      </c>
      <c r="E6">
        <v>2025</v>
      </c>
      <c r="F6" t="s">
        <v>11</v>
      </c>
      <c r="G6" t="s">
        <v>13</v>
      </c>
      <c r="H6" s="1">
        <v>0.48000000000000004</v>
      </c>
      <c r="I6" s="3">
        <f t="shared" si="0"/>
        <v>0.73</v>
      </c>
      <c r="J6" s="3">
        <f t="shared" si="1"/>
        <v>0.18000000000000005</v>
      </c>
      <c r="K6" s="1">
        <v>0.95</v>
      </c>
    </row>
    <row r="7" spans="1:11">
      <c r="A7">
        <v>123</v>
      </c>
      <c r="B7" t="str">
        <f t="shared" si="2"/>
        <v>0530</v>
      </c>
      <c r="C7" t="str">
        <f t="shared" si="3"/>
        <v>2330</v>
      </c>
      <c r="D7">
        <v>8</v>
      </c>
      <c r="E7">
        <v>2025</v>
      </c>
      <c r="F7" t="s">
        <v>11</v>
      </c>
      <c r="G7" t="s">
        <v>14</v>
      </c>
      <c r="H7" s="1">
        <v>0.49000000000000005</v>
      </c>
      <c r="I7" s="3">
        <f t="shared" si="0"/>
        <v>0.74</v>
      </c>
      <c r="J7" s="3">
        <f t="shared" si="1"/>
        <v>0.19000000000000006</v>
      </c>
      <c r="K7" s="1">
        <v>0.91</v>
      </c>
    </row>
    <row r="8" spans="1:11">
      <c r="A8">
        <v>123</v>
      </c>
      <c r="B8" t="str">
        <f t="shared" si="2"/>
        <v>0530</v>
      </c>
      <c r="C8" t="str">
        <f t="shared" si="3"/>
        <v>2330</v>
      </c>
      <c r="D8">
        <v>8</v>
      </c>
      <c r="E8">
        <v>2025</v>
      </c>
      <c r="F8" t="s">
        <v>15</v>
      </c>
      <c r="G8" t="s">
        <v>16</v>
      </c>
      <c r="H8" s="1">
        <v>0.5</v>
      </c>
      <c r="I8" s="3">
        <f t="shared" si="0"/>
        <v>0.75</v>
      </c>
      <c r="J8" s="3">
        <f t="shared" si="1"/>
        <v>0.2</v>
      </c>
      <c r="K8" s="1">
        <v>0.92</v>
      </c>
    </row>
    <row r="9" spans="1:11">
      <c r="A9">
        <v>123</v>
      </c>
      <c r="B9" t="str">
        <f t="shared" si="2"/>
        <v>0530</v>
      </c>
      <c r="C9" t="str">
        <f t="shared" si="3"/>
        <v>2330</v>
      </c>
      <c r="D9">
        <v>8</v>
      </c>
      <c r="E9">
        <v>2025</v>
      </c>
      <c r="F9" t="s">
        <v>15</v>
      </c>
      <c r="G9" t="s">
        <v>17</v>
      </c>
      <c r="H9" s="1">
        <v>0.51</v>
      </c>
      <c r="I9" s="3">
        <f t="shared" si="0"/>
        <v>0.76</v>
      </c>
      <c r="J9" s="3">
        <f t="shared" si="1"/>
        <v>0.21000000000000002</v>
      </c>
      <c r="K9" s="1">
        <v>0.93</v>
      </c>
    </row>
    <row r="10" spans="1:11">
      <c r="A10">
        <v>123</v>
      </c>
      <c r="B10" t="str">
        <f t="shared" si="2"/>
        <v>0530</v>
      </c>
      <c r="C10" t="str">
        <f t="shared" si="3"/>
        <v>2330</v>
      </c>
      <c r="D10">
        <v>8</v>
      </c>
      <c r="E10">
        <v>2025</v>
      </c>
      <c r="F10" t="s">
        <v>18</v>
      </c>
      <c r="G10" t="s">
        <v>16</v>
      </c>
      <c r="H10" s="1">
        <v>0.52</v>
      </c>
      <c r="I10" s="3">
        <f t="shared" si="0"/>
        <v>0.77</v>
      </c>
      <c r="J10" s="3">
        <f t="shared" si="1"/>
        <v>0.22000000000000003</v>
      </c>
      <c r="K10" s="1">
        <v>0.94</v>
      </c>
    </row>
    <row r="11" spans="1:11">
      <c r="A11">
        <v>123</v>
      </c>
      <c r="B11" t="str">
        <f t="shared" si="2"/>
        <v>0530</v>
      </c>
      <c r="C11" t="str">
        <f t="shared" si="3"/>
        <v>2330</v>
      </c>
      <c r="D11">
        <v>8</v>
      </c>
      <c r="E11">
        <v>2025</v>
      </c>
      <c r="F11" t="s">
        <v>18</v>
      </c>
      <c r="G11" t="s">
        <v>17</v>
      </c>
      <c r="H11" s="1">
        <v>0.53</v>
      </c>
      <c r="I11" s="3">
        <f t="shared" si="0"/>
        <v>0.78</v>
      </c>
      <c r="J11" s="3">
        <f t="shared" si="1"/>
        <v>0.23000000000000004</v>
      </c>
      <c r="K11" s="1">
        <v>0.95</v>
      </c>
    </row>
    <row r="12" spans="1:11">
      <c r="A12">
        <v>123</v>
      </c>
      <c r="B12" t="str">
        <f>TEXT("530","0000")</f>
        <v>0530</v>
      </c>
      <c r="C12" t="str">
        <f>TEXT("2330","0000")</f>
        <v>2330</v>
      </c>
      <c r="D12">
        <v>9</v>
      </c>
      <c r="E12">
        <v>2025</v>
      </c>
      <c r="F12" t="s">
        <v>11</v>
      </c>
      <c r="G12" t="s">
        <v>9</v>
      </c>
      <c r="H12" s="1">
        <v>0.56000000000000005</v>
      </c>
      <c r="I12" s="3">
        <f t="shared" si="0"/>
        <v>0.81</v>
      </c>
      <c r="J12" s="3">
        <f t="shared" si="1"/>
        <v>0.26000000000000006</v>
      </c>
      <c r="K12" s="1">
        <v>0.91</v>
      </c>
    </row>
    <row r="13" spans="1:11">
      <c r="A13">
        <v>123</v>
      </c>
      <c r="B13" t="str">
        <f>TEXT("530","0000")</f>
        <v>0530</v>
      </c>
      <c r="C13" t="str">
        <f>TEXT("2330","0000")</f>
        <v>2330</v>
      </c>
      <c r="D13">
        <v>9</v>
      </c>
      <c r="E13">
        <v>2025</v>
      </c>
      <c r="F13" t="s">
        <v>11</v>
      </c>
      <c r="G13" t="s">
        <v>12</v>
      </c>
      <c r="H13" s="1">
        <v>0.57000000000000006</v>
      </c>
      <c r="I13" s="3">
        <f t="shared" si="0"/>
        <v>0.82000000000000006</v>
      </c>
      <c r="J13" s="3">
        <f t="shared" si="1"/>
        <v>0.27000000000000007</v>
      </c>
      <c r="K13" s="1">
        <v>0.92</v>
      </c>
    </row>
    <row r="14" spans="1:11">
      <c r="A14">
        <v>123</v>
      </c>
      <c r="B14" t="str">
        <f t="shared" ref="B14:B19" si="4">TEXT("530","0000")</f>
        <v>0530</v>
      </c>
      <c r="C14" t="str">
        <f t="shared" ref="C14:C19" si="5">TEXT("2330","0000")</f>
        <v>2330</v>
      </c>
      <c r="D14">
        <v>9</v>
      </c>
      <c r="E14">
        <v>2025</v>
      </c>
      <c r="F14" t="s">
        <v>11</v>
      </c>
      <c r="G14" t="s">
        <v>13</v>
      </c>
      <c r="H14" s="1">
        <v>0.58000000000000007</v>
      </c>
      <c r="I14" s="3">
        <f t="shared" si="0"/>
        <v>0.83000000000000007</v>
      </c>
      <c r="J14" s="3">
        <f t="shared" si="1"/>
        <v>0.28000000000000008</v>
      </c>
      <c r="K14" s="1">
        <v>0.93</v>
      </c>
    </row>
    <row r="15" spans="1:11">
      <c r="A15">
        <v>123</v>
      </c>
      <c r="B15" t="str">
        <f t="shared" si="4"/>
        <v>0530</v>
      </c>
      <c r="C15" t="str">
        <f t="shared" si="5"/>
        <v>2330</v>
      </c>
      <c r="D15">
        <v>9</v>
      </c>
      <c r="E15">
        <v>2025</v>
      </c>
      <c r="F15" t="s">
        <v>11</v>
      </c>
      <c r="G15" t="s">
        <v>14</v>
      </c>
      <c r="H15" s="1">
        <v>0.59000000000000008</v>
      </c>
      <c r="I15" s="3">
        <f t="shared" si="0"/>
        <v>0.84000000000000008</v>
      </c>
      <c r="J15" s="3">
        <f t="shared" si="1"/>
        <v>0.29000000000000009</v>
      </c>
      <c r="K15" s="1">
        <v>0.94</v>
      </c>
    </row>
    <row r="16" spans="1:11">
      <c r="A16">
        <v>123</v>
      </c>
      <c r="B16" t="str">
        <f t="shared" si="4"/>
        <v>0530</v>
      </c>
      <c r="C16" t="str">
        <f t="shared" si="5"/>
        <v>2330</v>
      </c>
      <c r="D16">
        <v>9</v>
      </c>
      <c r="E16">
        <v>2025</v>
      </c>
      <c r="F16" t="s">
        <v>15</v>
      </c>
      <c r="G16" t="s">
        <v>16</v>
      </c>
      <c r="H16" s="1">
        <v>0.60000000000000009</v>
      </c>
      <c r="I16" s="3">
        <f t="shared" si="0"/>
        <v>0.85000000000000009</v>
      </c>
      <c r="J16" s="3">
        <f t="shared" si="1"/>
        <v>0.3000000000000001</v>
      </c>
      <c r="K16" s="1">
        <v>0.95</v>
      </c>
    </row>
    <row r="17" spans="1:11">
      <c r="A17">
        <v>123</v>
      </c>
      <c r="B17" t="str">
        <f t="shared" si="4"/>
        <v>0530</v>
      </c>
      <c r="C17" t="str">
        <f t="shared" si="5"/>
        <v>2330</v>
      </c>
      <c r="D17">
        <v>9</v>
      </c>
      <c r="E17">
        <v>2025</v>
      </c>
      <c r="F17" t="s">
        <v>15</v>
      </c>
      <c r="G17" t="s">
        <v>17</v>
      </c>
      <c r="H17" s="1">
        <v>0.6100000000000001</v>
      </c>
      <c r="I17" s="3">
        <f t="shared" si="0"/>
        <v>0.8600000000000001</v>
      </c>
      <c r="J17" s="3">
        <f t="shared" si="1"/>
        <v>0.31000000000000011</v>
      </c>
      <c r="K17" s="1">
        <v>0.93</v>
      </c>
    </row>
    <row r="18" spans="1:11">
      <c r="A18">
        <v>123</v>
      </c>
      <c r="B18" t="str">
        <f t="shared" si="4"/>
        <v>0530</v>
      </c>
      <c r="C18" t="str">
        <f t="shared" si="5"/>
        <v>2330</v>
      </c>
      <c r="D18">
        <v>9</v>
      </c>
      <c r="E18">
        <v>2025</v>
      </c>
      <c r="F18" t="s">
        <v>18</v>
      </c>
      <c r="G18" t="s">
        <v>16</v>
      </c>
      <c r="H18" s="1">
        <v>0.62000000000000011</v>
      </c>
      <c r="I18" s="3">
        <f t="shared" si="0"/>
        <v>0.87000000000000011</v>
      </c>
      <c r="J18" s="3">
        <f t="shared" si="1"/>
        <v>0.32000000000000012</v>
      </c>
      <c r="K18" s="1">
        <v>0.94</v>
      </c>
    </row>
    <row r="19" spans="1:11">
      <c r="A19">
        <v>123</v>
      </c>
      <c r="B19" t="str">
        <f t="shared" si="4"/>
        <v>0530</v>
      </c>
      <c r="C19" t="str">
        <f t="shared" si="5"/>
        <v>2330</v>
      </c>
      <c r="D19">
        <v>9</v>
      </c>
      <c r="E19">
        <v>2025</v>
      </c>
      <c r="F19" t="s">
        <v>18</v>
      </c>
      <c r="G19" t="s">
        <v>17</v>
      </c>
      <c r="H19" s="1">
        <v>0.63000000000000012</v>
      </c>
      <c r="I19" s="3">
        <f t="shared" si="0"/>
        <v>0.88000000000000012</v>
      </c>
      <c r="J19" s="3">
        <f t="shared" si="1"/>
        <v>0.33000000000000013</v>
      </c>
      <c r="K19" s="1">
        <v>0.95</v>
      </c>
    </row>
    <row r="20" spans="1:11">
      <c r="C20" s="2"/>
      <c r="H20" s="1"/>
    </row>
    <row r="21" spans="1:11">
      <c r="C21" s="2"/>
      <c r="H21" s="1"/>
    </row>
    <row r="22" spans="1:11">
      <c r="C22" s="2"/>
      <c r="H22" s="1"/>
    </row>
    <row r="23" spans="1:11">
      <c r="C23" s="2"/>
      <c r="H23" s="1"/>
    </row>
    <row r="24" spans="1:11">
      <c r="C24" s="2"/>
      <c r="H24" s="1"/>
    </row>
    <row r="25" spans="1:11">
      <c r="C25" s="2"/>
      <c r="H25" s="1"/>
    </row>
    <row r="26" spans="1:11">
      <c r="C26" s="2"/>
      <c r="H26" s="1"/>
    </row>
    <row r="27" spans="1:11">
      <c r="C27" s="2"/>
      <c r="H27" s="1"/>
    </row>
    <row r="28" spans="1:11">
      <c r="C28" s="2"/>
      <c r="H28" s="1"/>
    </row>
    <row r="29" spans="1:11">
      <c r="C29" s="2"/>
      <c r="H29" s="1"/>
    </row>
    <row r="30" spans="1:11">
      <c r="C30" s="2"/>
      <c r="H30" s="1"/>
    </row>
    <row r="31" spans="1:11">
      <c r="C31" s="2"/>
      <c r="H31" s="1"/>
    </row>
    <row r="32" spans="1:11">
      <c r="C32" s="2"/>
      <c r="H32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2025-10-22T08:24:31Z</dcterms:modified>
</cp:coreProperties>
</file>